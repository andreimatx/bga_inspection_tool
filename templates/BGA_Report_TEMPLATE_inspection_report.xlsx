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IPC Evaluation" sheetId="2" r:id="rId2"/>
    <sheet name="Ball Details" sheetId="3" r:id="rId3"/>
    <sheet name="Algorithm Analysis" sheetId="4" r:id="rId4"/>
  </sheets>
  <definedNames>
    <definedName name="_xlnm._FilterDatabase" localSheetId="2" hidden="1">'Ball Details'!$A$1:$O$9</definedName>
  </definedNames>
  <calcPr calcId="124519" fullCalcOnLoad="1"/>
</workbook>
</file>

<file path=xl/sharedStrings.xml><?xml version="1.0" encoding="utf-8"?>
<sst xmlns="http://schemas.openxmlformats.org/spreadsheetml/2006/main" count="149" uniqueCount="130">
  <si>
    <t>BGA VOID INSPECTION REPORT</t>
  </si>
  <si>
    <t>Quantitative &amp; qualitative void analysis per IPC-A-610 / IPC-7095</t>
  </si>
  <si>
    <t>Inspection details</t>
  </si>
  <si>
    <t>Board / image</t>
  </si>
  <si>
    <t>PCBA_TEMPLATE.jpg</t>
  </si>
  <si>
    <t>Report generated</t>
  </si>
  <si>
    <t>2026-07-08 21:23</t>
  </si>
  <si>
    <t>Inspection tool</t>
  </si>
  <si>
    <t>BGA X-ray Void Inspection Tool</t>
  </si>
  <si>
    <t>Image size</t>
  </si>
  <si>
    <t>2436 x 2042 px</t>
  </si>
  <si>
    <t>BGA grid</t>
  </si>
  <si>
    <t>256 expected pads (16 x 16)</t>
  </si>
  <si>
    <t>Balls analyzed</t>
  </si>
  <si>
    <t>8</t>
  </si>
  <si>
    <t>IPC VERDICT:  REJECT</t>
  </si>
  <si>
    <t>1 ball(s) exceed the IPC-A-610 25% cumulative void area limit.</t>
  </si>
  <si>
    <t>Key void metrics</t>
  </si>
  <si>
    <t>Average void ratio</t>
  </si>
  <si>
    <t>%</t>
  </si>
  <si>
    <t>Median void ratio</t>
  </si>
  <si>
    <t>Worst ball (total void)</t>
  </si>
  <si>
    <t>Worst single void</t>
  </si>
  <si>
    <t>Balls ACCEPTABLE</t>
  </si>
  <si>
    <t>balls</t>
  </si>
  <si>
    <t>Balls PROCESS INDICATOR</t>
  </si>
  <si>
    <t>Balls DEFECT (IPC-A-610)</t>
  </si>
  <si>
    <t>Void-ratio distribution</t>
  </si>
  <si>
    <t>Total void per ball</t>
  </si>
  <si>
    <t>Ball count</t>
  </si>
  <si>
    <t>0 - 2%</t>
  </si>
  <si>
    <t>2 - 5%</t>
  </si>
  <si>
    <t>5 - 10%</t>
  </si>
  <si>
    <t>10 - 15%</t>
  </si>
  <si>
    <t>15 - 25%</t>
  </si>
  <si>
    <t>&gt; 25%</t>
  </si>
  <si>
    <t>Assessment</t>
  </si>
  <si>
    <t>Balls</t>
  </si>
  <si>
    <t>ACCEPTABLE</t>
  </si>
  <si>
    <t>PROCESS INDICATOR</t>
  </si>
  <si>
    <t>DEFECT</t>
  </si>
  <si>
    <t>IPC CRITERIA EVALUATION</t>
  </si>
  <si>
    <t>Criterion</t>
  </si>
  <si>
    <t>Source</t>
  </si>
  <si>
    <t>Limit</t>
  </si>
  <si>
    <t>Measured on this board</t>
  </si>
  <si>
    <t>Result</t>
  </si>
  <si>
    <t>Cumulative void area per ball</t>
  </si>
  <si>
    <t>IPC-A-610 (Class 1, 2, 3)</t>
  </si>
  <si>
    <t>&lt;= 25% of ball area</t>
  </si>
  <si>
    <t>worst ball: 27.40%</t>
  </si>
  <si>
    <t>FAIL (1 ball(s))</t>
  </si>
  <si>
    <t>Process indicator band (total void 10-25%)</t>
  </si>
  <si>
    <t>IPC-7095 process guidance</t>
  </si>
  <si>
    <t>monitor, not a defect</t>
  </si>
  <si>
    <t>2 ball(s) in band</t>
  </si>
  <si>
    <t>INFO</t>
  </si>
  <si>
    <t>Largest single void per ball</t>
  </si>
  <si>
    <t>IPC-7095 (dominant-void guidance)</t>
  </si>
  <si>
    <t>review above 12.2% area (~35% diameter)</t>
  </si>
  <si>
    <t>worst single void: 45.8% of ball diameter</t>
  </si>
  <si>
    <t>Void location at pad interface</t>
  </si>
  <si>
    <t>IPC-7095 (30% dia at land)</t>
  </si>
  <si>
    <t>requires oblique/3D view</t>
  </si>
  <si>
    <t>not measurable in one top-down 2D X-ray</t>
  </si>
  <si>
    <t>NOT EVALUATED</t>
  </si>
  <si>
    <t>Complete ball grid detected</t>
  </si>
  <si>
    <t>detection integrity gate</t>
  </si>
  <si>
    <t>all expected pads found</t>
  </si>
  <si>
    <t>8 / 256</t>
  </si>
  <si>
    <t>REVIEW</t>
  </si>
  <si>
    <t>Standards note: IPC-A-610 defines BGA voiding as a DEFECT for Class 1, 2 and 3 when the cumulative void area of a ball exceeds 25% of its X-ray image area. IPC-7095 adds process-level guidance: it classifies void types (macrovoids, planar microvoids, shrinkage, via-in-pad) and treats the 10-25% band as a process indicator to monitor. Location-specific limits (e.g. voids at the pad interface) cannot be judged from a single top-down 2D X-ray and are marked NOT EVALUATED instead of being guessed.</t>
  </si>
  <si>
    <t>Ball ID</t>
  </si>
  <si>
    <t>X (px)</t>
  </si>
  <si>
    <t>Y (px)</t>
  </si>
  <si>
    <t>Diameter (px)</t>
  </si>
  <si>
    <t>Ball area (px2)</t>
  </si>
  <si>
    <t>Void count</t>
  </si>
  <si>
    <t>Total void area (px2)</t>
  </si>
  <si>
    <t>Largest void (px2)</t>
  </si>
  <si>
    <t>Total void (%)</t>
  </si>
  <si>
    <t>Largest void (%)</t>
  </si>
  <si>
    <t>Largest void dia (% of ball dia)</t>
  </si>
  <si>
    <t>Quality</t>
  </si>
  <si>
    <t>IPC assessment</t>
  </si>
  <si>
    <t>Grid-estimated</t>
  </si>
  <si>
    <t>Confidence</t>
  </si>
  <si>
    <t>PASS</t>
  </si>
  <si>
    <t>FAIL</t>
  </si>
  <si>
    <t>DEFECT (IPC-A-610)</t>
  </si>
  <si>
    <t>yes</t>
  </si>
  <si>
    <t>ALGORITHM ANALYSIS - HONEST ASSESSMENT</t>
  </si>
  <si>
    <t>Detection integrity</t>
  </si>
  <si>
    <t xml:space="preserve">  - Balls detected: 8 of 256 expected grid slots</t>
  </si>
  <si>
    <t xml:space="preserve">  - Pads placed from grid estimation (no direct evidence): 1</t>
  </si>
  <si>
    <t xml:space="preserve">  - Mean detection confidence (evidence-backed pads): 0.95</t>
  </si>
  <si>
    <t xml:space="preserve">  - Ball quality split: 5 PASS / 2 REVIEW / 1 FAIL</t>
  </si>
  <si>
    <t>Measurement pipeline (what actually produced these numbers)</t>
  </si>
  <si>
    <t xml:space="preserve">  - 1. CLAHE contrast enhancement + median denoising of the raw X-ray.</t>
  </si>
  <si>
    <t xml:space="preserve">  - 2. Solder-ball detection: Hough circles + dark-blob evidence, regularized onto the 16x16 BGA grid (affine + homography fit for oblique views, per-ball local snap with non-degradation gates).</t>
  </si>
  <si>
    <t xml:space="preserve">  - 3. Per-ball void segmentation: median-background subtraction (kernel &gt; ball radius), bond-wire suppression by grayscale closing, residual threshold, then shape filtering.</t>
  </si>
  <si>
    <t xml:space="preserve">  - 4. Detected void blobs are rendered as fitted circles when they fill &gt;= 45% of the fitted disc (physical voids are spherical gas bubbles); ragged non-circular structures keep their raw contour.</t>
  </si>
  <si>
    <t xml:space="preserve">  - 5. Component-level sanity filters remove rim arcs, trace stripes, bare-board bleed-through and empty-pad artifacts before metrics.</t>
  </si>
  <si>
    <t>Classification thresholds applied</t>
  </si>
  <si>
    <t xml:space="preserve">  - Defect (FAIL): total void &gt;= 25.0% of ball area (IPC-A-610).</t>
  </si>
  <si>
    <t xml:space="preserve">  - Process indicator (REVIEW): total void &gt;= 10.0% (IPC-7095 guidance).</t>
  </si>
  <si>
    <t xml:space="preserve">  - Dominant single void (REVIEW): largest void &gt;= 12.25% of ball area (~35% of ball diameter).</t>
  </si>
  <si>
    <t>Measurement uncertainty - read before trusting decimals</t>
  </si>
  <si>
    <t xml:space="preserve">  - Projected-area measurement: one top-down 2D X-ray cannot separate package-interface, mid-ball and pad-interface voids; the 25% IPC-A-610 criterion is applied on the projection, exactly as the standard defines it for X-ray inspection.</t>
  </si>
  <si>
    <t xml:space="preserve">  - Analysis is restricted to the inner 82% of each ball radius; a void hiding exactly on the ball rim can be underestimated.</t>
  </si>
  <si>
    <t xml:space="preserve">  - Voids smaller than ~10 px^2 (about 0.15% of a ball) are below the detection floor and are intentionally ignored as noise.</t>
  </si>
  <si>
    <t xml:space="preserve">  - Fitted-circle rendering slightly increases void area versus the raw threshold blob (it includes the faded bubble edge); this is closer to the physical bubble size but adds ~0.3-0.6 percentage points to board averages compared to raw-contour reporting.</t>
  </si>
  <si>
    <t xml:space="preserve">  - JPEG compression artifacts and CLAHE amplification set a noise floor around 1-2% void ratio; differences below that level are not meaningful.</t>
  </si>
  <si>
    <t xml:space="preserve">  - On oblique views, perspective foreshortening distorts both ball and void areas; the ratio is partially self-correcting but not perfectly.</t>
  </si>
  <si>
    <t>Known limitations of this analysis</t>
  </si>
  <si>
    <t xml:space="preserve">  - Components mounted on the opposite board side project dark shadows between and over balls; the detector anchors circles on grid geometry to resist this, but heavily shadowed balls have reduced void sensitivity.</t>
  </si>
  <si>
    <t xml:space="preserve">  - Grid slots occupied by vias (no ball populated) are still reported as balls when the slot must be filled; they show ~0% void and near-board brightness.</t>
  </si>
  <si>
    <t xml:space="preserve">  - Bond-wire suppression (morphological closing) can mask very thin elongated voids lying exactly under a wire.</t>
  </si>
  <si>
    <t xml:space="preserve">  - The tool measures voiding only; it does not assess head-in-pillow, non-wet opens, bridging or solder-ball shape defects.</t>
  </si>
  <si>
    <t>Balls to verify manually first (worst 10 by total void)</t>
  </si>
  <si>
    <t xml:space="preserve">  - Ball #  7 at (1220, 400): total 27.40%, largest single 21.00% -&gt; DEFECT (IPC-A-610)</t>
  </si>
  <si>
    <t xml:space="preserve">  - Ball #  6 at (1100, 400): total 18.60%, largest single 14.10% -&gt; PROCESS INDICATOR</t>
  </si>
  <si>
    <t xml:space="preserve">  - Ball #  5 at (980, 400): total 13.20%, largest single 7.90% -&gt; PROCESS INDICATOR</t>
  </si>
  <si>
    <t xml:space="preserve">  - Ball #  4 at (860, 400): total 8.75%, largest single 5.40% -&gt; ACCEPTABLE</t>
  </si>
  <si>
    <t xml:space="preserve">  - Ball #  3 at (740, 400): total 4.50%, largest single 2.10% -&gt; ACCEPTABLE</t>
  </si>
  <si>
    <t xml:space="preserve">  - Ball #  8 at (1340, 400): total 2.30%, largest single 1.10% -&gt; ACCEPTABLE</t>
  </si>
  <si>
    <t xml:space="preserve">  - Ball #  2 at (620, 400): total 1.85%, largest single 1.20% -&gt; ACCEPTABLE</t>
  </si>
  <si>
    <t xml:space="preserve">  - Ball #  1 at (500, 400): total 0.00%, largest single 0.00% -&gt; ACCEPTABLE</t>
  </si>
  <si>
    <t>Grid-estimated pads (verify visually)</t>
  </si>
  <si>
    <t xml:space="preserve">  - Ball #  8 at (1340, 400) - position estimated from the grid, no direct dark-pad evidence; its void metrics carry extra uncertainty</t>
  </si>
</sst>
</file>

<file path=xl/styles.xml><?xml version="1.0" encoding="utf-8"?>
<styleSheet xmlns="http://schemas.openxmlformats.org/spreadsheetml/2006/main">
  <numFmts count="1">
    <numFmt numFmtId="164" formatCode="0.00"/>
  </numFmts>
  <fonts count="10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666666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BE4E4"/>
        <bgColor indexed="64"/>
      </patternFill>
    </fill>
    <fill>
      <patternFill patternType="solid">
        <fgColor rgb="FFB26A0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DF3D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0" fillId="0" borderId="2" xfId="0" applyBorder="1"/>
    <xf numFmtId="0" fontId="6" fillId="5" borderId="2" xfId="0" applyFont="1" applyFill="1" applyBorder="1" applyAlignment="1">
      <alignment horizontal="center" vertical="center" wrapText="1"/>
    </xf>
    <xf numFmtId="164" fontId="0" fillId="0" borderId="2" xfId="0" applyNumberFormat="1" applyBorder="1"/>
    <xf numFmtId="0" fontId="7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7" fillId="3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164" fontId="0" fillId="8" borderId="2" xfId="0" applyNumberFormat="1" applyFill="1" applyBorder="1"/>
    <xf numFmtId="0" fontId="0" fillId="8" borderId="2" xfId="0" applyFill="1" applyBorder="1"/>
    <xf numFmtId="164" fontId="0" fillId="5" borderId="2" xfId="0" applyNumberFormat="1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Void-ratio distribution (per ball)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Balls per void band</c:v>
          </c:tx>
          <c:spPr>
            <a:solidFill>
              <a:srgbClr val="4472C4"/>
            </a:solidFill>
          </c:spPr>
          <c:dLbls>
            <c:showVal val="1"/>
          </c:dLbls>
          <c:cat>
            <c:strRef>
              <c:f>'Executive Summary'!$B$27:$B$32</c:f>
              <c:strCache>
                <c:ptCount val="6"/>
                <c:pt idx="0">
                  <c:v>0 - 2%</c:v>
                </c:pt>
                <c:pt idx="1">
                  <c:v>2 - 5%</c:v>
                </c:pt>
                <c:pt idx="2">
                  <c:v>5 - 10%</c:v>
                </c:pt>
                <c:pt idx="3">
                  <c:v>10 - 15%</c:v>
                </c:pt>
                <c:pt idx="4">
                  <c:v>15 - 25%</c:v>
                </c:pt>
                <c:pt idx="5">
                  <c:v>&gt; 25%</c:v>
                </c:pt>
              </c:strCache>
            </c:strRef>
          </c:cat>
          <c:val>
            <c:numRef>
              <c:f>'Executive Summary'!$C$27:$C$32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void per ball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balls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Ball assessment split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Ball assessment</c:v>
          </c:tx>
          <c:dPt>
            <c:idx val="0"/>
            <c:spPr>
              <a:solidFill>
                <a:srgbClr val="2E7D32"/>
              </a:solidFill>
            </c:spPr>
          </c:dPt>
          <c:dPt>
            <c:idx val="1"/>
            <c:spPr>
              <a:solidFill>
                <a:srgbClr val="B26A00"/>
              </a:solidFill>
            </c:spPr>
          </c:dPt>
          <c:dPt>
            <c:idx val="2"/>
            <c:spPr>
              <a:solidFill>
                <a:srgbClr val="C62828"/>
              </a:solidFill>
            </c:spPr>
          </c:dPt>
          <c:cat>
            <c:strRef>
              <c:f>'Executive Summary'!$B$35:$B$37</c:f>
              <c:strCache>
                <c:ptCount val="3"/>
                <c:pt idx="0">
                  <c:v>ACCEPTABLE</c:v>
                </c:pt>
                <c:pt idx="1">
                  <c:v>PROCESS INDICATOR</c:v>
                </c:pt>
                <c:pt idx="2">
                  <c:v>DEFECT</c:v>
                </c:pt>
              </c:strCache>
            </c:strRef>
          </c:cat>
          <c:val>
            <c:numRef>
              <c:f>'Executive Summary'!$C$35:$C$37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25</xdr:row>
      <xdr:rowOff>0</xdr:rowOff>
    </xdr:from>
    <xdr:to>
      <xdr:col>8</xdr:col>
      <xdr:colOff>600075</xdr:colOff>
      <xdr:row>40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41</xdr:row>
      <xdr:rowOff>0</xdr:rowOff>
    </xdr:from>
    <xdr:to>
      <xdr:col>6</xdr:col>
      <xdr:colOff>800100</xdr:colOff>
      <xdr:row>55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37"/>
  <sheetViews>
    <sheetView showGridLines="0" tabSelected="1" workbookViewId="0"/>
  </sheetViews>
  <sheetFormatPr defaultRowHeight="15"/>
  <cols>
    <col min="1" max="1" width="2.7109375" customWidth="1"/>
    <col min="2" max="3" width="26.7109375" customWidth="1"/>
    <col min="4" max="5" width="22.7109375" customWidth="1"/>
    <col min="6" max="7" width="16.7109375" customWidth="1"/>
  </cols>
  <sheetData>
    <row r="2" spans="2:7">
      <c r="B2" s="1" t="s">
        <v>0</v>
      </c>
      <c r="C2" s="1"/>
      <c r="D2" s="1"/>
      <c r="E2" s="1"/>
      <c r="F2" s="1"/>
      <c r="G2" s="1"/>
    </row>
    <row r="3" spans="2:7">
      <c r="B3" s="1"/>
      <c r="C3" s="1"/>
      <c r="D3" s="1"/>
      <c r="E3" s="1"/>
      <c r="F3" s="1"/>
      <c r="G3" s="1"/>
    </row>
    <row r="4" spans="2:7">
      <c r="B4" s="2" t="s">
        <v>1</v>
      </c>
      <c r="C4" s="2"/>
      <c r="D4" s="2"/>
      <c r="E4" s="2"/>
      <c r="F4" s="2"/>
      <c r="G4" s="2"/>
    </row>
    <row r="7" spans="2:7">
      <c r="B7" s="3" t="s">
        <v>2</v>
      </c>
      <c r="D7" s="4" t="s">
        <v>15</v>
      </c>
      <c r="E7" s="4"/>
      <c r="F7" s="4"/>
      <c r="G7" s="4"/>
    </row>
    <row r="8" spans="2:7">
      <c r="B8" s="5" t="s">
        <v>3</v>
      </c>
      <c r="C8" s="6" t="s">
        <v>4</v>
      </c>
      <c r="D8" s="4"/>
      <c r="E8" s="4"/>
      <c r="F8" s="4"/>
      <c r="G8" s="4"/>
    </row>
    <row r="9" spans="2:7">
      <c r="B9" s="5" t="s">
        <v>5</v>
      </c>
      <c r="C9" s="6" t="s">
        <v>6</v>
      </c>
      <c r="D9" s="4"/>
      <c r="E9" s="4"/>
      <c r="F9" s="4"/>
      <c r="G9" s="4"/>
    </row>
    <row r="10" spans="2:7">
      <c r="B10" s="5" t="s">
        <v>7</v>
      </c>
      <c r="C10" s="6" t="s">
        <v>8</v>
      </c>
      <c r="D10" s="7" t="s">
        <v>16</v>
      </c>
      <c r="E10" s="7"/>
      <c r="F10" s="7"/>
      <c r="G10" s="7"/>
    </row>
    <row r="11" spans="2:7">
      <c r="B11" s="5" t="s">
        <v>9</v>
      </c>
      <c r="C11" s="6" t="s">
        <v>10</v>
      </c>
      <c r="D11" s="7"/>
      <c r="E11" s="7"/>
      <c r="F11" s="7"/>
      <c r="G11" s="7"/>
    </row>
    <row r="12" spans="2:7">
      <c r="B12" s="5" t="s">
        <v>11</v>
      </c>
      <c r="C12" s="6" t="s">
        <v>12</v>
      </c>
      <c r="D12" s="7"/>
      <c r="E12" s="7"/>
      <c r="F12" s="7"/>
      <c r="G12" s="7"/>
    </row>
    <row r="13" spans="2:7">
      <c r="B13" s="5" t="s">
        <v>13</v>
      </c>
      <c r="C13" s="6" t="s">
        <v>14</v>
      </c>
    </row>
    <row r="15" spans="2:7">
      <c r="B15" s="3" t="s">
        <v>17</v>
      </c>
    </row>
    <row r="16" spans="2:7">
      <c r="B16" s="5" t="s">
        <v>18</v>
      </c>
      <c r="C16" s="8">
        <v>9.574999999999999</v>
      </c>
      <c r="D16" s="6" t="s">
        <v>19</v>
      </c>
    </row>
    <row r="17" spans="2:4">
      <c r="B17" s="5" t="s">
        <v>20</v>
      </c>
      <c r="C17" s="8">
        <v>8.75</v>
      </c>
      <c r="D17" s="6" t="s">
        <v>19</v>
      </c>
    </row>
    <row r="18" spans="2:4">
      <c r="B18" s="5" t="s">
        <v>21</v>
      </c>
      <c r="C18" s="8">
        <v>27.4</v>
      </c>
      <c r="D18" s="6" t="s">
        <v>19</v>
      </c>
    </row>
    <row r="19" spans="2:4">
      <c r="B19" s="5" t="s">
        <v>22</v>
      </c>
      <c r="C19" s="8">
        <v>21</v>
      </c>
      <c r="D19" s="6" t="s">
        <v>19</v>
      </c>
    </row>
    <row r="20" spans="2:4">
      <c r="B20" s="5" t="s">
        <v>23</v>
      </c>
      <c r="C20" s="6">
        <v>5</v>
      </c>
      <c r="D20" s="6" t="s">
        <v>24</v>
      </c>
    </row>
    <row r="21" spans="2:4">
      <c r="B21" s="5" t="s">
        <v>25</v>
      </c>
      <c r="C21" s="6">
        <v>2</v>
      </c>
      <c r="D21" s="6" t="s">
        <v>24</v>
      </c>
    </row>
    <row r="22" spans="2:4">
      <c r="B22" s="5" t="s">
        <v>26</v>
      </c>
      <c r="C22" s="6">
        <v>1</v>
      </c>
      <c r="D22" s="6" t="s">
        <v>24</v>
      </c>
    </row>
    <row r="25" spans="2:4">
      <c r="B25" s="3" t="s">
        <v>27</v>
      </c>
    </row>
    <row r="26" spans="2:4">
      <c r="B26" s="9" t="s">
        <v>28</v>
      </c>
      <c r="C26" s="9" t="s">
        <v>29</v>
      </c>
    </row>
    <row r="27" spans="2:4">
      <c r="B27" s="6" t="s">
        <v>30</v>
      </c>
      <c r="C27" s="6">
        <v>2</v>
      </c>
    </row>
    <row r="28" spans="2:4">
      <c r="B28" s="6" t="s">
        <v>31</v>
      </c>
      <c r="C28" s="6">
        <v>2</v>
      </c>
    </row>
    <row r="29" spans="2:4">
      <c r="B29" s="6" t="s">
        <v>32</v>
      </c>
      <c r="C29" s="6">
        <v>1</v>
      </c>
    </row>
    <row r="30" spans="2:4">
      <c r="B30" s="6" t="s">
        <v>33</v>
      </c>
      <c r="C30" s="6">
        <v>1</v>
      </c>
    </row>
    <row r="31" spans="2:4">
      <c r="B31" s="6" t="s">
        <v>34</v>
      </c>
      <c r="C31" s="6">
        <v>1</v>
      </c>
    </row>
    <row r="32" spans="2:4">
      <c r="B32" s="6" t="s">
        <v>35</v>
      </c>
      <c r="C32" s="6">
        <v>1</v>
      </c>
    </row>
    <row r="34" spans="2:3">
      <c r="B34" s="9" t="s">
        <v>36</v>
      </c>
      <c r="C34" s="9" t="s">
        <v>37</v>
      </c>
    </row>
    <row r="35" spans="2:3">
      <c r="B35" s="6" t="s">
        <v>38</v>
      </c>
      <c r="C35" s="6">
        <v>5</v>
      </c>
    </row>
    <row r="36" spans="2:3">
      <c r="B36" s="6" t="s">
        <v>39</v>
      </c>
      <c r="C36" s="6">
        <v>2</v>
      </c>
    </row>
    <row r="37" spans="2:3">
      <c r="B37" s="6" t="s">
        <v>40</v>
      </c>
      <c r="C37" s="6">
        <v>1</v>
      </c>
    </row>
  </sheetData>
  <mergeCells count="4">
    <mergeCell ref="B2:G3"/>
    <mergeCell ref="B4:G4"/>
    <mergeCell ref="D7:G9"/>
    <mergeCell ref="D10:G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F15"/>
  <sheetViews>
    <sheetView showGridLines="0" workbookViewId="0"/>
  </sheetViews>
  <sheetFormatPr defaultRowHeight="15"/>
  <cols>
    <col min="1" max="1" width="2.7109375" customWidth="1"/>
    <col min="2" max="2" width="38.7109375" customWidth="1"/>
    <col min="3" max="3" width="28.7109375" customWidth="1"/>
    <col min="4" max="4" width="34.7109375" customWidth="1"/>
    <col min="5" max="5" width="40.7109375" customWidth="1"/>
    <col min="6" max="6" width="18.7109375" customWidth="1"/>
  </cols>
  <sheetData>
    <row r="2" spans="2:6">
      <c r="B2" s="1" t="s">
        <v>41</v>
      </c>
      <c r="C2" s="1"/>
      <c r="D2" s="1"/>
      <c r="E2" s="1"/>
      <c r="F2" s="1"/>
    </row>
    <row r="4" spans="2:6">
      <c r="B4" s="9" t="s">
        <v>42</v>
      </c>
      <c r="C4" s="9" t="s">
        <v>43</v>
      </c>
      <c r="D4" s="9" t="s">
        <v>44</v>
      </c>
      <c r="E4" s="9" t="s">
        <v>45</v>
      </c>
      <c r="F4" s="9" t="s">
        <v>46</v>
      </c>
    </row>
    <row r="5" spans="2:6">
      <c r="B5" s="10" t="s">
        <v>47</v>
      </c>
      <c r="C5" s="10" t="s">
        <v>48</v>
      </c>
      <c r="D5" s="10" t="s">
        <v>49</v>
      </c>
      <c r="E5" s="10" t="s">
        <v>50</v>
      </c>
      <c r="F5" s="11" t="s">
        <v>51</v>
      </c>
    </row>
    <row r="6" spans="2:6">
      <c r="B6" s="10" t="s">
        <v>52</v>
      </c>
      <c r="C6" s="10" t="s">
        <v>53</v>
      </c>
      <c r="D6" s="10" t="s">
        <v>54</v>
      </c>
      <c r="E6" s="10" t="s">
        <v>55</v>
      </c>
      <c r="F6" s="12" t="s">
        <v>56</v>
      </c>
    </row>
    <row r="7" spans="2:6">
      <c r="B7" s="10" t="s">
        <v>57</v>
      </c>
      <c r="C7" s="10" t="s">
        <v>58</v>
      </c>
      <c r="D7" s="10" t="s">
        <v>59</v>
      </c>
      <c r="E7" s="10" t="s">
        <v>60</v>
      </c>
      <c r="F7" s="12" t="s">
        <v>56</v>
      </c>
    </row>
    <row r="8" spans="2:6">
      <c r="B8" s="10" t="s">
        <v>61</v>
      </c>
      <c r="C8" s="10" t="s">
        <v>62</v>
      </c>
      <c r="D8" s="10" t="s">
        <v>63</v>
      </c>
      <c r="E8" s="10" t="s">
        <v>64</v>
      </c>
      <c r="F8" s="13" t="s">
        <v>65</v>
      </c>
    </row>
    <row r="9" spans="2:6">
      <c r="B9" s="10" t="s">
        <v>66</v>
      </c>
      <c r="C9" s="10" t="s">
        <v>67</v>
      </c>
      <c r="D9" s="10" t="s">
        <v>68</v>
      </c>
      <c r="E9" s="10" t="s">
        <v>69</v>
      </c>
      <c r="F9" s="12" t="s">
        <v>70</v>
      </c>
    </row>
    <row r="12" spans="2:6">
      <c r="B12" s="14" t="s">
        <v>71</v>
      </c>
      <c r="C12" s="14"/>
      <c r="D12" s="14"/>
      <c r="E12" s="14"/>
      <c r="F12" s="14"/>
    </row>
    <row r="13" spans="2:6">
      <c r="B13" s="14"/>
      <c r="C13" s="14"/>
      <c r="D13" s="14"/>
      <c r="E13" s="14"/>
      <c r="F13" s="14"/>
    </row>
    <row r="14" spans="2:6">
      <c r="B14" s="14"/>
      <c r="C14" s="14"/>
      <c r="D14" s="14"/>
      <c r="E14" s="14"/>
      <c r="F14" s="14"/>
    </row>
    <row r="15" spans="2:6">
      <c r="B15" s="14"/>
      <c r="C15" s="14"/>
      <c r="D15" s="14"/>
      <c r="E15" s="14"/>
      <c r="F15" s="14"/>
    </row>
  </sheetData>
  <mergeCells count="2">
    <mergeCell ref="B2:F2"/>
    <mergeCell ref="B12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8.7109375" customWidth="1"/>
    <col min="4" max="4" width="11.7109375" customWidth="1"/>
    <col min="5" max="5" width="12.7109375" customWidth="1"/>
    <col min="6" max="6" width="9.7109375" customWidth="1"/>
    <col min="7" max="8" width="13.7109375" customWidth="1"/>
    <col min="9" max="9" width="11.7109375" customWidth="1"/>
    <col min="10" max="10" width="12.7109375" customWidth="1"/>
    <col min="11" max="11" width="15.7109375" customWidth="1"/>
    <col min="12" max="12" width="9.7109375" customWidth="1"/>
    <col min="13" max="13" width="20.7109375" customWidth="1"/>
    <col min="14" max="14" width="12.7109375" customWidth="1"/>
    <col min="15" max="15" width="10.7109375" customWidth="1"/>
  </cols>
  <sheetData>
    <row r="1" spans="1:15">
      <c r="A1" s="9" t="s">
        <v>72</v>
      </c>
      <c r="B1" s="9" t="s">
        <v>73</v>
      </c>
      <c r="C1" s="9" t="s">
        <v>74</v>
      </c>
      <c r="D1" s="9" t="s">
        <v>75</v>
      </c>
      <c r="E1" s="9" t="s">
        <v>76</v>
      </c>
      <c r="F1" s="9" t="s">
        <v>77</v>
      </c>
      <c r="G1" s="9" t="s">
        <v>78</v>
      </c>
      <c r="H1" s="9" t="s">
        <v>79</v>
      </c>
      <c r="I1" s="9" t="s">
        <v>80</v>
      </c>
      <c r="J1" s="9" t="s">
        <v>81</v>
      </c>
      <c r="K1" s="9" t="s">
        <v>82</v>
      </c>
      <c r="L1" s="9" t="s">
        <v>83</v>
      </c>
      <c r="M1" s="9" t="s">
        <v>84</v>
      </c>
      <c r="N1" s="9" t="s">
        <v>85</v>
      </c>
      <c r="O1" s="9" t="s">
        <v>86</v>
      </c>
    </row>
    <row r="2" spans="1:15">
      <c r="A2" s="8">
        <v>1</v>
      </c>
      <c r="B2" s="8">
        <v>500</v>
      </c>
      <c r="C2" s="8">
        <v>400</v>
      </c>
      <c r="D2" s="8">
        <v>60</v>
      </c>
      <c r="E2" s="8">
        <v>2827.43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6" t="s">
        <v>87</v>
      </c>
      <c r="M2" s="6" t="s">
        <v>38</v>
      </c>
      <c r="N2" s="6"/>
      <c r="O2" s="8">
        <v>0.95</v>
      </c>
    </row>
    <row r="3" spans="1:15">
      <c r="A3" s="8">
        <v>2</v>
      </c>
      <c r="B3" s="8">
        <v>620</v>
      </c>
      <c r="C3" s="8">
        <v>400</v>
      </c>
      <c r="D3" s="8">
        <v>60</v>
      </c>
      <c r="E3" s="8">
        <v>2827.43</v>
      </c>
      <c r="F3" s="8">
        <v>2</v>
      </c>
      <c r="G3" s="8">
        <v>52</v>
      </c>
      <c r="H3" s="8">
        <v>34</v>
      </c>
      <c r="I3" s="8">
        <v>1.85</v>
      </c>
      <c r="J3" s="8">
        <v>1.2</v>
      </c>
      <c r="K3" s="8">
        <v>10.97</v>
      </c>
      <c r="L3" s="6" t="s">
        <v>87</v>
      </c>
      <c r="M3" s="6" t="s">
        <v>38</v>
      </c>
      <c r="N3" s="6"/>
      <c r="O3" s="8">
        <v>0.95</v>
      </c>
    </row>
    <row r="4" spans="1:15">
      <c r="A4" s="8">
        <v>3</v>
      </c>
      <c r="B4" s="8">
        <v>740</v>
      </c>
      <c r="C4" s="8">
        <v>400</v>
      </c>
      <c r="D4" s="8">
        <v>60</v>
      </c>
      <c r="E4" s="8">
        <v>2827.43</v>
      </c>
      <c r="F4" s="8">
        <v>2</v>
      </c>
      <c r="G4" s="8">
        <v>127</v>
      </c>
      <c r="H4" s="8">
        <v>59</v>
      </c>
      <c r="I4" s="8">
        <v>4.5</v>
      </c>
      <c r="J4" s="8">
        <v>2.1</v>
      </c>
      <c r="K4" s="8">
        <v>14.45</v>
      </c>
      <c r="L4" s="6" t="s">
        <v>87</v>
      </c>
      <c r="M4" s="6" t="s">
        <v>38</v>
      </c>
      <c r="N4" s="6"/>
      <c r="O4" s="8">
        <v>0.95</v>
      </c>
    </row>
    <row r="5" spans="1:15">
      <c r="A5" s="8">
        <v>4</v>
      </c>
      <c r="B5" s="8">
        <v>860</v>
      </c>
      <c r="C5" s="8">
        <v>400</v>
      </c>
      <c r="D5" s="8">
        <v>60</v>
      </c>
      <c r="E5" s="8">
        <v>2827.43</v>
      </c>
      <c r="F5" s="8">
        <v>2</v>
      </c>
      <c r="G5" s="8">
        <v>247</v>
      </c>
      <c r="H5" s="8">
        <v>153</v>
      </c>
      <c r="I5" s="8">
        <v>8.75</v>
      </c>
      <c r="J5" s="8">
        <v>5.4</v>
      </c>
      <c r="K5" s="8">
        <v>23.26</v>
      </c>
      <c r="L5" s="6" t="s">
        <v>87</v>
      </c>
      <c r="M5" s="6" t="s">
        <v>38</v>
      </c>
      <c r="N5" s="6"/>
      <c r="O5" s="8">
        <v>0.95</v>
      </c>
    </row>
    <row r="6" spans="1:15">
      <c r="A6" s="15">
        <v>5</v>
      </c>
      <c r="B6" s="15">
        <v>980</v>
      </c>
      <c r="C6" s="15">
        <v>400</v>
      </c>
      <c r="D6" s="15">
        <v>60</v>
      </c>
      <c r="E6" s="15">
        <v>2827.43</v>
      </c>
      <c r="F6" s="15">
        <v>2</v>
      </c>
      <c r="G6" s="15">
        <v>373</v>
      </c>
      <c r="H6" s="15">
        <v>223</v>
      </c>
      <c r="I6" s="15">
        <v>13.2</v>
      </c>
      <c r="J6" s="15">
        <v>7.9</v>
      </c>
      <c r="K6" s="15">
        <v>28.08</v>
      </c>
      <c r="L6" s="16" t="s">
        <v>70</v>
      </c>
      <c r="M6" s="16" t="s">
        <v>39</v>
      </c>
      <c r="N6" s="16"/>
      <c r="O6" s="15">
        <v>0.95</v>
      </c>
    </row>
    <row r="7" spans="1:15">
      <c r="A7" s="15">
        <v>6</v>
      </c>
      <c r="B7" s="15">
        <v>1100</v>
      </c>
      <c r="C7" s="15">
        <v>400</v>
      </c>
      <c r="D7" s="15">
        <v>60</v>
      </c>
      <c r="E7" s="15">
        <v>2827.43</v>
      </c>
      <c r="F7" s="15">
        <v>2</v>
      </c>
      <c r="G7" s="15">
        <v>526</v>
      </c>
      <c r="H7" s="15">
        <v>399</v>
      </c>
      <c r="I7" s="15">
        <v>18.6</v>
      </c>
      <c r="J7" s="15">
        <v>14.1</v>
      </c>
      <c r="K7" s="15">
        <v>37.57</v>
      </c>
      <c r="L7" s="16" t="s">
        <v>70</v>
      </c>
      <c r="M7" s="16" t="s">
        <v>39</v>
      </c>
      <c r="N7" s="16"/>
      <c r="O7" s="15">
        <v>0.95</v>
      </c>
    </row>
    <row r="8" spans="1:15">
      <c r="A8" s="17">
        <v>7</v>
      </c>
      <c r="B8" s="17">
        <v>1220</v>
      </c>
      <c r="C8" s="17">
        <v>400</v>
      </c>
      <c r="D8" s="17">
        <v>60</v>
      </c>
      <c r="E8" s="17">
        <v>2827.43</v>
      </c>
      <c r="F8" s="17">
        <v>2</v>
      </c>
      <c r="G8" s="17">
        <v>775</v>
      </c>
      <c r="H8" s="17">
        <v>594</v>
      </c>
      <c r="I8" s="17">
        <v>27.4</v>
      </c>
      <c r="J8" s="17">
        <v>21</v>
      </c>
      <c r="K8" s="17">
        <v>45.84</v>
      </c>
      <c r="L8" s="18" t="s">
        <v>88</v>
      </c>
      <c r="M8" s="18" t="s">
        <v>89</v>
      </c>
      <c r="N8" s="18"/>
      <c r="O8" s="17">
        <v>0.95</v>
      </c>
    </row>
    <row r="9" spans="1:15">
      <c r="A9" s="8">
        <v>8</v>
      </c>
      <c r="B9" s="8">
        <v>1340</v>
      </c>
      <c r="C9" s="8">
        <v>400</v>
      </c>
      <c r="D9" s="8">
        <v>60</v>
      </c>
      <c r="E9" s="8">
        <v>2827.43</v>
      </c>
      <c r="F9" s="8">
        <v>2</v>
      </c>
      <c r="G9" s="8">
        <v>65</v>
      </c>
      <c r="H9" s="8">
        <v>31</v>
      </c>
      <c r="I9" s="8">
        <v>2.3</v>
      </c>
      <c r="J9" s="8">
        <v>1.1</v>
      </c>
      <c r="K9" s="8">
        <v>10.47</v>
      </c>
      <c r="L9" s="6" t="s">
        <v>87</v>
      </c>
      <c r="M9" s="6" t="s">
        <v>38</v>
      </c>
      <c r="N9" s="6" t="s">
        <v>90</v>
      </c>
      <c r="O9" s="8">
        <v>0</v>
      </c>
    </row>
  </sheetData>
  <autoFilter ref="A1:O9"/>
  <conditionalFormatting sqref="I2:I9">
    <cfRule type="colorScale" priority="1">
      <colorScale>
        <cfvo type="min" val="0"/>
        <cfvo type="percentile" val="50"/>
        <cfvo type="max" val="0"/>
        <color rgb="FFE3F0E3"/>
        <color rgb="FFFDF3D9"/>
        <color rgb="FFF4B5B5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B48"/>
  <sheetViews>
    <sheetView showGridLines="0" workbookViewId="0"/>
  </sheetViews>
  <sheetFormatPr defaultRowHeight="15"/>
  <cols>
    <col min="1" max="1" width="2.7109375" customWidth="1"/>
    <col min="2" max="2" width="110.7109375" customWidth="1"/>
  </cols>
  <sheetData>
    <row r="2" spans="2:2">
      <c r="B2" s="1" t="s">
        <v>91</v>
      </c>
    </row>
    <row r="3" spans="2:2">
      <c r="B3" s="1"/>
    </row>
    <row r="5" spans="2:2">
      <c r="B5" s="3" t="s">
        <v>92</v>
      </c>
    </row>
    <row r="6" spans="2:2">
      <c r="B6" s="14" t="s">
        <v>93</v>
      </c>
    </row>
    <row r="7" spans="2:2">
      <c r="B7" s="14" t="s">
        <v>94</v>
      </c>
    </row>
    <row r="8" spans="2:2">
      <c r="B8" s="14" t="s">
        <v>95</v>
      </c>
    </row>
    <row r="9" spans="2:2">
      <c r="B9" s="14" t="s">
        <v>96</v>
      </c>
    </row>
    <row r="11" spans="2:2">
      <c r="B11" s="3" t="s">
        <v>97</v>
      </c>
    </row>
    <row r="12" spans="2:2">
      <c r="B12" s="14" t="s">
        <v>98</v>
      </c>
    </row>
    <row r="13" spans="2:2">
      <c r="B13" s="14" t="s">
        <v>99</v>
      </c>
    </row>
    <row r="14" spans="2:2">
      <c r="B14" s="14" t="s">
        <v>100</v>
      </c>
    </row>
    <row r="15" spans="2:2">
      <c r="B15" s="14" t="s">
        <v>101</v>
      </c>
    </row>
    <row r="16" spans="2:2">
      <c r="B16" s="14" t="s">
        <v>102</v>
      </c>
    </row>
    <row r="18" spans="2:2">
      <c r="B18" s="3" t="s">
        <v>103</v>
      </c>
    </row>
    <row r="19" spans="2:2">
      <c r="B19" s="14" t="s">
        <v>104</v>
      </c>
    </row>
    <row r="20" spans="2:2">
      <c r="B20" s="14" t="s">
        <v>105</v>
      </c>
    </row>
    <row r="21" spans="2:2">
      <c r="B21" s="14" t="s">
        <v>106</v>
      </c>
    </row>
    <row r="23" spans="2:2">
      <c r="B23" s="3" t="s">
        <v>107</v>
      </c>
    </row>
    <row r="24" spans="2:2">
      <c r="B24" s="14" t="s">
        <v>108</v>
      </c>
    </row>
    <row r="25" spans="2:2">
      <c r="B25" s="14" t="s">
        <v>109</v>
      </c>
    </row>
    <row r="26" spans="2:2">
      <c r="B26" s="14" t="s">
        <v>110</v>
      </c>
    </row>
    <row r="27" spans="2:2">
      <c r="B27" s="14" t="s">
        <v>111</v>
      </c>
    </row>
    <row r="28" spans="2:2">
      <c r="B28" s="14" t="s">
        <v>112</v>
      </c>
    </row>
    <row r="29" spans="2:2">
      <c r="B29" s="14" t="s">
        <v>113</v>
      </c>
    </row>
    <row r="31" spans="2:2">
      <c r="B31" s="3" t="s">
        <v>114</v>
      </c>
    </row>
    <row r="32" spans="2:2">
      <c r="B32" s="14" t="s">
        <v>115</v>
      </c>
    </row>
    <row r="33" spans="2:2">
      <c r="B33" s="14" t="s">
        <v>116</v>
      </c>
    </row>
    <row r="34" spans="2:2">
      <c r="B34" s="14" t="s">
        <v>117</v>
      </c>
    </row>
    <row r="35" spans="2:2">
      <c r="B35" s="14" t="s">
        <v>118</v>
      </c>
    </row>
    <row r="37" spans="2:2">
      <c r="B37" s="3" t="s">
        <v>119</v>
      </c>
    </row>
    <row r="38" spans="2:2">
      <c r="B38" s="14" t="s">
        <v>120</v>
      </c>
    </row>
    <row r="39" spans="2:2">
      <c r="B39" s="14" t="s">
        <v>121</v>
      </c>
    </row>
    <row r="40" spans="2:2">
      <c r="B40" s="14" t="s">
        <v>122</v>
      </c>
    </row>
    <row r="41" spans="2:2">
      <c r="B41" s="14" t="s">
        <v>123</v>
      </c>
    </row>
    <row r="42" spans="2:2">
      <c r="B42" s="14" t="s">
        <v>124</v>
      </c>
    </row>
    <row r="43" spans="2:2">
      <c r="B43" s="14" t="s">
        <v>125</v>
      </c>
    </row>
    <row r="44" spans="2:2">
      <c r="B44" s="14" t="s">
        <v>126</v>
      </c>
    </row>
    <row r="45" spans="2:2">
      <c r="B45" s="14" t="s">
        <v>127</v>
      </c>
    </row>
    <row r="47" spans="2:2">
      <c r="B47" s="3" t="s">
        <v>128</v>
      </c>
    </row>
    <row r="48" spans="2:2">
      <c r="B48" s="14" t="s">
        <v>129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IPC Evaluation</vt:lpstr>
      <vt:lpstr>Ball Details</vt:lpstr>
      <vt:lpstr>Algorithm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2026-07-08T21:23:17Z</dcterms:created>
  <dcterms:modified xsi:type="dcterms:W3CDTF">2026-07-08T21:23:17Z</dcterms:modified>
</cp:coreProperties>
</file>